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0" windowWidth="23040" windowHeight="9264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_xlnm._FilterDatabase" localSheetId="6" hidden="1">Task_5!$E$22:$E$35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  <c r="C5" i="15"/>
  <c r="E28" i="18" l="1"/>
  <c r="E30" i="18"/>
  <c r="F30" i="18"/>
  <c r="F28" i="18"/>
  <c r="F29" i="18"/>
  <c r="E29" i="18"/>
  <c r="D28" i="18"/>
  <c r="D29" i="18"/>
  <c r="D30" i="18"/>
  <c r="C29" i="18"/>
  <c r="C28" i="18"/>
  <c r="C30" i="18"/>
  <c r="B29" i="18"/>
  <c r="B28" i="18"/>
  <c r="B30" i="18"/>
</calcChain>
</file>

<file path=xl/sharedStrings.xml><?xml version="1.0" encoding="utf-8"?>
<sst xmlns="http://schemas.openxmlformats.org/spreadsheetml/2006/main" count="440" uniqueCount="190">
  <si>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</si>
  <si>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</si>
  <si>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</si>
  <si>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</si>
  <si>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</si>
  <si>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</si>
  <si>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</si>
  <si>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</si>
  <si>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</si>
  <si>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</si>
  <si>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</si>
  <si>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</si>
  <si>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</si>
  <si>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</si>
  <si>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</si>
  <si>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</si>
  <si>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</si>
  <si>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</si>
  <si>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</si>
  <si>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</si>
  <si>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</si>
  <si>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</si>
  <si>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</si>
  <si>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</si>
  <si>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</si>
  <si>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</si>
  <si>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</si>
  <si>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</si>
  <si>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</si>
  <si>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</si>
  <si>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</si>
  <si>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</si>
  <si>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</si>
  <si>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</si>
  <si>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</si>
  <si>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</si>
  <si>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</si>
  <si>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</si>
  <si>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</si>
  <si>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</si>
  <si>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</si>
  <si>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</si>
  <si>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</si>
  <si>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</si>
  <si>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</si>
  <si>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</si>
  <si>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</si>
  <si>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</si>
  <si>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</si>
  <si>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</si>
  <si>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</si>
  <si>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</si>
  <si>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</si>
  <si>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</si>
  <si>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</si>
  <si>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</si>
  <si>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</si>
  <si>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</si>
  <si>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</si>
  <si>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</si>
  <si>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</si>
  <si>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</si>
  <si>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</si>
  <si>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</si>
  <si>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</si>
  <si>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</si>
  <si>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</si>
  <si>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</si>
  <si>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</si>
  <si>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</si>
  <si>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</si>
  <si>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</si>
  <si>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</si>
  <si>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</si>
  <si>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</si>
  <si>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</si>
  <si>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</si>
  <si>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</si>
  <si>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</si>
  <si>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</si>
  <si>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</si>
  <si>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</si>
  <si>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</si>
  <si>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</si>
  <si>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</si>
  <si>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</si>
  <si>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</si>
  <si>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</si>
  <si>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</si>
  <si>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</si>
  <si>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</si>
  <si>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</si>
  <si>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</si>
  <si>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</si>
  <si>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</si>
  <si>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</si>
  <si>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</si>
  <si>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</si>
  <si>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</si>
  <si>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</si>
  <si>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</si>
  <si>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</si>
  <si>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</si>
  <si>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</si>
  <si>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</si>
  <si>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</si>
  <si>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</si>
  <si>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</si>
  <si>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</si>
  <si>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</si>
  <si>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</si>
  <si>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</si>
  <si>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</si>
  <si>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</si>
  <si>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</si>
  <si>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</si>
  <si>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</si>
  <si>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</si>
  <si>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</si>
  <si>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</si>
  <si>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</si>
  <si>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</si>
  <si>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</si>
  <si>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</si>
  <si>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</si>
  <si>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</si>
  <si>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</si>
  <si>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</si>
  <si>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</si>
  <si>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</si>
  <si>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</si>
  <si>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</si>
  <si>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</si>
  <si>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</si>
  <si>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</si>
  <si>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</si>
  <si>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</si>
  <si>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</si>
  <si>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</si>
  <si>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</si>
  <si>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</si>
  <si>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</si>
  <si>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</si>
  <si>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</si>
  <si>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</si>
  <si>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</si>
  <si>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</si>
  <si>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</si>
  <si>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</si>
  <si>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</si>
  <si>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</si>
  <si>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</si>
  <si>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</si>
  <si>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</si>
  <si>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</si>
  <si>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</si>
  <si>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</si>
  <si>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</si>
  <si>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</si>
  <si>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</si>
  <si>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</si>
  <si>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</si>
  <si>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</si>
  <si>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</si>
  <si>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</si>
  <si>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</si>
  <si>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</si>
  <si>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</si>
  <si>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</si>
  <si>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</si>
  <si>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</si>
  <si>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</si>
  <si>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</si>
  <si>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</si>
  <si>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</si>
  <si>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</si>
  <si>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</si>
  <si>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Columns OR We can use Flash Fill</t>
  </si>
  <si>
    <t>Select Text to Column and then we know that the delimeter is '-' then select the destination where you want to print.</t>
  </si>
  <si>
    <t>Go to VIEW then FREEZE PANES and then Select Freeze TOP ROW.</t>
  </si>
  <si>
    <t>Conditional Formatting to select -1, 0 respectively and highlight those cells.</t>
  </si>
  <si>
    <t>Just use sumif formula with &gt;20 condition in it.</t>
  </si>
  <si>
    <t xml:space="preserve">Select column X then select custom formatting then use YYYY-MM-DD. </t>
  </si>
  <si>
    <t>To substitute or replace the #N/A used find and replace using CTRL+F then in Find what section put #N/A and in Replace with put 20 and finally used sum formula or we can use ALT+F to get sum.</t>
  </si>
  <si>
    <t>Find and Replace ( CTRL + F )</t>
  </si>
  <si>
    <t>Used VLOOKUP Function to solve this question</t>
  </si>
  <si>
    <t>col_2</t>
  </si>
  <si>
    <t>Index and Match</t>
  </si>
  <si>
    <t>I have taken a different apporach to solve this I have first used VLOOKUP to align the ID value in Table_B infront of Table_C then have used Index function to select the Output 2-D array and then in Match for the first condition have considered col_1 criteria and for the second condition have used col_2 criteria.</t>
  </si>
  <si>
    <t>Refrence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</si>
</sst>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" activePane="bottomLeft" state="frozen"/>
      <selection activeCell="L1" sqref="L1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3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2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3">
      <c r="A2" s="2"/>
      <c r="B2" s="5" t="s">
        <v>160</v>
      </c>
      <c r="C2" s="2"/>
    </row>
    <row r="3" spans="1:6" x14ac:dyDescent="0.3">
      <c r="A3" s="6">
        <v>1</v>
      </c>
      <c r="B3" s="2" t="s">
        <v>107</v>
      </c>
      <c r="C3" s="2" t="s">
        <v>45</v>
      </c>
      <c r="E3" s="1">
        <v>5</v>
      </c>
      <c r="F3" s="1" t="s">
        <v>180</v>
      </c>
    </row>
    <row r="4" spans="1:6" x14ac:dyDescent="0.3">
      <c r="A4" s="6">
        <v>2</v>
      </c>
      <c r="B4" s="2" t="s">
        <v>46</v>
      </c>
      <c r="C4" s="2"/>
      <c r="E4" s="1">
        <v>5</v>
      </c>
      <c r="F4" s="1" t="s">
        <v>179</v>
      </c>
    </row>
    <row r="5" spans="1:6" x14ac:dyDescent="0.3">
      <c r="A5" s="6">
        <v>3</v>
      </c>
      <c r="B5" s="2" t="s">
        <v>104</v>
      </c>
      <c r="C5" s="1">
        <f>SUMIF(Dataset!H2:H40,"&gt;20")</f>
        <v>1473.0000000000002</v>
      </c>
      <c r="E5" s="1">
        <v>10</v>
      </c>
      <c r="F5" s="1" t="s">
        <v>181</v>
      </c>
    </row>
    <row r="6" spans="1:6" x14ac:dyDescent="0.3">
      <c r="A6" s="6">
        <v>4</v>
      </c>
      <c r="B6" s="2" t="s">
        <v>106</v>
      </c>
      <c r="C6" s="2"/>
      <c r="E6" s="1">
        <v>5</v>
      </c>
      <c r="F6" s="1" t="s">
        <v>182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8" s="39" customFormat="1" ht="21" x14ac:dyDescent="0.4">
      <c r="A1" s="40" t="s">
        <v>55</v>
      </c>
      <c r="B1" s="39" t="s">
        <v>164</v>
      </c>
    </row>
    <row r="2" spans="1:8" s="39" customFormat="1" ht="21" x14ac:dyDescent="0.4">
      <c r="B2" s="39" t="s">
        <v>161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7" t="s">
        <v>162</v>
      </c>
      <c r="B4" s="1"/>
      <c r="C4" s="1"/>
      <c r="D4" s="1"/>
      <c r="E4" s="1"/>
      <c r="F4" s="1"/>
      <c r="G4" s="1"/>
    </row>
    <row r="5" spans="1:8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2" t="s">
        <v>185</v>
      </c>
    </row>
    <row r="6" spans="1:8" ht="14.4" x14ac:dyDescent="0.3">
      <c r="A6" s="7" t="s">
        <v>40</v>
      </c>
      <c r="B6" s="12">
        <f>VLOOKUP(A6,Dataset!A:G,7,0)</f>
        <v>2.7</v>
      </c>
      <c r="C6" s="12">
        <f>VLOOKUP(A6,Dataset!A:N,14,0)</f>
        <v>7.6</v>
      </c>
      <c r="D6" s="12">
        <f>VLOOKUP(A6,Dataset!A:R,18,0)</f>
        <v>4.2</v>
      </c>
      <c r="E6" s="12">
        <f>VLOOKUP(A6,Dataset!A:T,20,0)</f>
        <v>8.9</v>
      </c>
      <c r="F6" s="8">
        <f>VLOOKUP(A6,Dataset!A:X,22,0)</f>
        <v>4.2</v>
      </c>
    </row>
    <row r="7" spans="1:8" ht="14.4" x14ac:dyDescent="0.3">
      <c r="A7" s="7" t="s">
        <v>4</v>
      </c>
      <c r="B7" s="12">
        <f>VLOOKUP(A7,Dataset!A:G,7,0)</f>
        <v>2.7</v>
      </c>
      <c r="C7" s="12">
        <f>VLOOKUP(A7,Dataset!A:N,14,0)</f>
        <v>7.6</v>
      </c>
      <c r="D7" s="12">
        <f>VLOOKUP(A7,Dataset!A:R,18,0)</f>
        <v>4.2</v>
      </c>
      <c r="E7" s="12">
        <f>VLOOKUP(A7,Dataset!A:T,20,0)</f>
        <v>8.9</v>
      </c>
      <c r="F7" s="8">
        <f>VLOOKUP(A7,Dataset!A:X,22,0)</f>
        <v>4.2</v>
      </c>
    </row>
    <row r="8" spans="1:8" ht="14.4" x14ac:dyDescent="0.3">
      <c r="A8" s="7" t="s">
        <v>7</v>
      </c>
      <c r="B8" s="12">
        <f>VLOOKUP(A8,Dataset!A:G,7,0)</f>
        <v>3.6</v>
      </c>
      <c r="C8" s="12">
        <f>VLOOKUP(A8,Dataset!A:N,14,0)</f>
        <v>11.1</v>
      </c>
      <c r="D8" s="12">
        <f>VLOOKUP(A8,Dataset!A:R,18,0)</f>
        <v>5.8</v>
      </c>
      <c r="E8" s="12">
        <f>VLOOKUP(A8,Dataset!A:T,20,0)</f>
        <v>12.2</v>
      </c>
      <c r="F8" s="8">
        <f>VLOOKUP(A8,Dataset!A:X,22,0)</f>
        <v>5.8</v>
      </c>
    </row>
    <row r="9" spans="1:8" ht="14.4" x14ac:dyDescent="0.3">
      <c r="A9" s="7" t="s">
        <v>8</v>
      </c>
      <c r="B9" s="12">
        <f>VLOOKUP(A9,Dataset!A:G,7,0)</f>
        <v>4.9000000000000004</v>
      </c>
      <c r="C9" s="12">
        <f>VLOOKUP(A9,Dataset!A:N,14,0)</f>
        <v>13.3</v>
      </c>
      <c r="D9" s="12">
        <f>VLOOKUP(A9,Dataset!A:R,18,0)</f>
        <v>8.1</v>
      </c>
      <c r="E9" s="12">
        <f>VLOOKUP(A9,Dataset!A:T,20,0)</f>
        <v>17</v>
      </c>
      <c r="F9" s="8">
        <f>VLOOKUP(A9,Dataset!A:X,22,0)</f>
        <v>8.1</v>
      </c>
    </row>
    <row r="10" spans="1:8" ht="14.4" x14ac:dyDescent="0.3">
      <c r="A10" s="7" t="s">
        <v>11</v>
      </c>
      <c r="B10" s="12">
        <f>VLOOKUP(A10,Dataset!A:G,7,0)</f>
        <v>9.4</v>
      </c>
      <c r="C10" s="12">
        <f>VLOOKUP(A10,Dataset!A:N,14,0)</f>
        <v>28.3</v>
      </c>
      <c r="D10" s="12">
        <f>VLOOKUP(A10,Dataset!A:R,18,0)</f>
        <v>16.100000000000001</v>
      </c>
      <c r="E10" s="12">
        <f>VLOOKUP(A10,Dataset!A:T,20,0)</f>
        <v>32.799999999999997</v>
      </c>
      <c r="F10" s="8">
        <f>VLOOKUP(A10,Dataset!A:X,22,0)</f>
        <v>16.100000000000001</v>
      </c>
    </row>
    <row r="11" spans="1:8" ht="14.4" x14ac:dyDescent="0.3">
      <c r="A11" s="7" t="s">
        <v>12</v>
      </c>
      <c r="B11" s="12">
        <f>VLOOKUP(A11,Dataset!A:G,7,0)</f>
        <v>11.6</v>
      </c>
      <c r="C11" s="12">
        <f>VLOOKUP(A11,Dataset!A:N,14,0)</f>
        <v>35.200000000000003</v>
      </c>
      <c r="D11" s="12">
        <f>VLOOKUP(A11,Dataset!A:R,18,0)</f>
        <v>21.3</v>
      </c>
      <c r="E11" s="12">
        <f>VLOOKUP(A11,Dataset!A:T,20,0)</f>
        <v>43</v>
      </c>
      <c r="F11" s="8">
        <f>VLOOKUP(A11,Dataset!A:X,22,0)</f>
        <v>21.3</v>
      </c>
    </row>
    <row r="12" spans="1:8" ht="14.4" x14ac:dyDescent="0.3">
      <c r="A12" s="7" t="s">
        <v>14</v>
      </c>
      <c r="B12" s="12">
        <f>VLOOKUP(A12,Dataset!A:G,7,0)</f>
        <v>18.399999999999999</v>
      </c>
      <c r="C12" s="12">
        <f>VLOOKUP(A12,Dataset!A:N,14,0)</f>
        <v>55.6</v>
      </c>
      <c r="D12" s="12">
        <f>VLOOKUP(A12,Dataset!A:R,18,0)</f>
        <v>33.799999999999997</v>
      </c>
      <c r="E12" s="12">
        <f>VLOOKUP(A12,Dataset!A:T,20,0)</f>
        <v>67.900000000000006</v>
      </c>
      <c r="F12" s="8">
        <f>VLOOKUP(A12,Dataset!A:X,22,0)</f>
        <v>33.799999999999997</v>
      </c>
    </row>
    <row r="13" spans="1:8" ht="14.4" x14ac:dyDescent="0.3">
      <c r="A13" s="7" t="s">
        <v>15</v>
      </c>
      <c r="B13" s="12">
        <f>VLOOKUP(A13,Dataset!A:G,7,0)</f>
        <v>0</v>
      </c>
      <c r="C13" s="12">
        <f>VLOOKUP(A13,Dataset!A:N,14,0)</f>
        <v>0</v>
      </c>
      <c r="D13" s="12">
        <f>VLOOKUP(A13,Dataset!A:R,18,0)</f>
        <v>0</v>
      </c>
      <c r="E13" s="12">
        <f>VLOOKUP(A13,Dataset!A:T,20,0)</f>
        <v>0</v>
      </c>
      <c r="F13" s="8">
        <f>VLOOKUP(A13,Dataset!A:X,22,0)</f>
        <v>0</v>
      </c>
    </row>
    <row r="14" spans="1:8" ht="14.4" x14ac:dyDescent="0.3">
      <c r="A14" s="7" t="s">
        <v>16</v>
      </c>
      <c r="B14" s="12">
        <f>VLOOKUP(A14,Dataset!A:G,7,0)</f>
        <v>21.9</v>
      </c>
      <c r="C14" s="12">
        <f>VLOOKUP(A14,Dataset!A:N,14,0)</f>
        <v>61.5</v>
      </c>
      <c r="D14" s="12">
        <f>VLOOKUP(A14,Dataset!A:R,18,0)</f>
        <v>40.1</v>
      </c>
      <c r="E14" s="12">
        <f>VLOOKUP(A14,Dataset!A:T,20,0)</f>
        <v>76.599999999999994</v>
      </c>
      <c r="F14" s="8">
        <f>VLOOKUP(A14,Dataset!A:X,22,0)</f>
        <v>40.1</v>
      </c>
    </row>
    <row r="15" spans="1:8" ht="14.4" x14ac:dyDescent="0.3">
      <c r="A15" s="7" t="s">
        <v>18</v>
      </c>
      <c r="B15" s="12">
        <f>VLOOKUP(A15,Dataset!A:G,7,0)</f>
        <v>26.8</v>
      </c>
      <c r="C15" s="12">
        <f>VLOOKUP(A15,Dataset!A:N,14,0)</f>
        <v>79.599999999999994</v>
      </c>
      <c r="D15" s="12">
        <f>VLOOKUP(A15,Dataset!A:R,18,0)</f>
        <v>47.9</v>
      </c>
      <c r="E15" s="12">
        <f>VLOOKUP(A15,Dataset!A:T,20,0)</f>
        <v>96.8</v>
      </c>
      <c r="F15" s="8">
        <f>VLOOKUP(A15,Dataset!A:X,22,0)</f>
        <v>47.9</v>
      </c>
    </row>
    <row r="16" spans="1:8" ht="14.4" x14ac:dyDescent="0.3">
      <c r="A16" s="7" t="s">
        <v>20</v>
      </c>
      <c r="B16" s="12">
        <f>VLOOKUP(A16,Dataset!A:G,7,0)</f>
        <v>28.5</v>
      </c>
      <c r="C16" s="12">
        <f>VLOOKUP(A16,Dataset!A:N,14,0)</f>
        <v>85.4</v>
      </c>
      <c r="D16" s="12">
        <f>VLOOKUP(A16,Dataset!A:R,18,0)</f>
        <v>52.3</v>
      </c>
      <c r="E16" s="12">
        <f>VLOOKUP(A16,Dataset!A:T,20,0)</f>
        <v>106.1</v>
      </c>
      <c r="F16" s="8">
        <f>VLOOKUP(A16,Dataset!A:X,22,0)</f>
        <v>52.3</v>
      </c>
    </row>
    <row r="17" spans="1:6" ht="14.4" x14ac:dyDescent="0.3">
      <c r="A17" s="7" t="s">
        <v>22</v>
      </c>
      <c r="B17" s="12">
        <f>VLOOKUP(A17,Dataset!A:G,7,0)</f>
        <v>30.7</v>
      </c>
      <c r="C17" s="12">
        <f>VLOOKUP(A17,Dataset!A:N,14,0)</f>
        <v>92.1</v>
      </c>
      <c r="D17" s="12">
        <f>VLOOKUP(A17,Dataset!A:R,18,0)</f>
        <v>57</v>
      </c>
      <c r="E17" s="12">
        <f>VLOOKUP(A17,Dataset!A:T,20,0)</f>
        <v>115.1</v>
      </c>
      <c r="F17" s="8">
        <f>VLOOKUP(A17,Dataset!A:X,22,0)</f>
        <v>57</v>
      </c>
    </row>
    <row r="18" spans="1:6" ht="14.4" x14ac:dyDescent="0.3">
      <c r="A18" s="7" t="s">
        <v>23</v>
      </c>
      <c r="B18" s="12">
        <f>VLOOKUP(A18,Dataset!A:G,7,0)</f>
        <v>33.799999999999997</v>
      </c>
      <c r="C18" s="12">
        <f>VLOOKUP(A18,Dataset!A:N,14,0)</f>
        <v>101.3</v>
      </c>
      <c r="D18" s="12">
        <f>VLOOKUP(A18,Dataset!A:R,18,0)</f>
        <v>61.4</v>
      </c>
      <c r="E18" s="12">
        <f>VLOOKUP(A18,Dataset!A:T,20,0)</f>
        <v>124.4</v>
      </c>
      <c r="F18" s="8">
        <f>VLOOKUP(A18,Dataset!A:X,22,0)</f>
        <v>61.4</v>
      </c>
    </row>
    <row r="19" spans="1:6" ht="14.4" x14ac:dyDescent="0.3">
      <c r="A19" s="7" t="s">
        <v>24</v>
      </c>
      <c r="B19" s="12">
        <f>VLOOKUP(A19,Dataset!A:G,7,0)</f>
        <v>34.700000000000003</v>
      </c>
      <c r="C19" s="12">
        <f>VLOOKUP(A19,Dataset!A:N,14,0)</f>
        <v>106.1</v>
      </c>
      <c r="D19" s="12">
        <f>VLOOKUP(A19,Dataset!A:R,18,0)</f>
        <v>63.6</v>
      </c>
      <c r="E19" s="12">
        <f>VLOOKUP(A19,Dataset!A:T,20,0)</f>
        <v>128.6</v>
      </c>
      <c r="F19" s="8">
        <f>VLOOKUP(A19,Dataset!A:X,22,0)</f>
        <v>63.6</v>
      </c>
    </row>
    <row r="20" spans="1:6" ht="14.4" x14ac:dyDescent="0.3">
      <c r="A20" s="7" t="s">
        <v>28</v>
      </c>
      <c r="B20" s="12">
        <f>VLOOKUP(A20,Dataset!A:G,7,0)</f>
        <v>0</v>
      </c>
      <c r="C20" s="12">
        <f>VLOOKUP(A20,Dataset!A:N,14,0)</f>
        <v>0</v>
      </c>
      <c r="D20" s="12">
        <f>VLOOKUP(A20,Dataset!A:R,18,0)</f>
        <v>0</v>
      </c>
      <c r="E20" s="12">
        <f>VLOOKUP(A20,Dataset!A:T,20,0)</f>
        <v>0</v>
      </c>
      <c r="F20" s="8">
        <f>VLOOKUP(A20,Dataset!A:X,22,0)</f>
        <v>0</v>
      </c>
    </row>
    <row r="21" spans="1:6" ht="14.4" x14ac:dyDescent="0.3">
      <c r="A21" s="7" t="s">
        <v>57</v>
      </c>
      <c r="B21" s="12">
        <f>VLOOKUP(A21,Dataset!A:G,7,0)</f>
        <v>41.3</v>
      </c>
      <c r="C21" s="12">
        <f>VLOOKUP(A21,Dataset!A:N,14,0)</f>
        <v>124.4</v>
      </c>
      <c r="D21" s="12">
        <f>VLOOKUP(A21,Dataset!A:R,18,0)</f>
        <v>75</v>
      </c>
      <c r="E21" s="12">
        <f>VLOOKUP(A21,Dataset!A:T,20,0)</f>
        <v>151.5</v>
      </c>
      <c r="F21" s="8">
        <f>VLOOKUP(A21,Dataset!A:X,22,0)</f>
        <v>75</v>
      </c>
    </row>
    <row r="22" spans="1:6" ht="14.4" x14ac:dyDescent="0.3">
      <c r="A22" s="7" t="s">
        <v>58</v>
      </c>
      <c r="B22" s="12">
        <f>VLOOKUP(A22,Dataset!A:G,7,0)</f>
        <v>-1</v>
      </c>
      <c r="C22" s="12">
        <f>VLOOKUP(A22,Dataset!A:N,14,0)</f>
        <v>-1</v>
      </c>
      <c r="D22" s="12">
        <f>VLOOKUP(A22,Dataset!A:R,18,0)</f>
        <v>-1</v>
      </c>
      <c r="E22" s="12">
        <f>VLOOKUP(A22,Dataset!A:T,20,0)</f>
        <v>-1</v>
      </c>
      <c r="F22" s="8">
        <f>VLOOKUP(A22,Dataset!A:X,22,0)</f>
        <v>-1</v>
      </c>
    </row>
    <row r="23" spans="1:6" ht="14.4" x14ac:dyDescent="0.3">
      <c r="A23" s="7" t="s">
        <v>31</v>
      </c>
      <c r="B23" s="12">
        <f>VLOOKUP(A23,Dataset!A:G,7,0)</f>
        <v>45</v>
      </c>
      <c r="C23" s="12">
        <f>VLOOKUP(A23,Dataset!A:N,14,0)</f>
        <v>133.4</v>
      </c>
      <c r="D23" s="12">
        <f>VLOOKUP(A23,Dataset!A:R,18,0)</f>
        <v>79.400000000000006</v>
      </c>
      <c r="E23" s="12">
        <f>VLOOKUP(A23,Dataset!A:T,20,0)</f>
        <v>160.9</v>
      </c>
      <c r="F23" s="8">
        <f>VLOOKUP(A23,Dataset!A:X,22,0)</f>
        <v>79.400000000000006</v>
      </c>
    </row>
    <row r="24" spans="1:6" ht="14.4" x14ac:dyDescent="0.3">
      <c r="A24" s="7" t="s">
        <v>32</v>
      </c>
      <c r="B24" s="12">
        <f>VLOOKUP(A24,Dataset!A:G,7,0)</f>
        <v>-1</v>
      </c>
      <c r="C24" s="12">
        <f>VLOOKUP(A24,Dataset!A:N,14,0)</f>
        <v>-1</v>
      </c>
      <c r="D24" s="12">
        <f>VLOOKUP(A24,Dataset!A:R,18,0)</f>
        <v>-1</v>
      </c>
      <c r="E24" s="12">
        <f>VLOOKUP(A24,Dataset!A:T,20,0)</f>
        <v>-1</v>
      </c>
      <c r="F24" s="8">
        <f>VLOOKUP(A24,Dataset!A:X,22,0)</f>
        <v>-1</v>
      </c>
    </row>
    <row r="25" spans="1:6" ht="14.4" x14ac:dyDescent="0.3">
      <c r="A25" s="7" t="s">
        <v>34</v>
      </c>
      <c r="B25" s="12">
        <f>VLOOKUP(A25,Dataset!A:G,7,0)</f>
        <v>43.3</v>
      </c>
      <c r="C25" s="12">
        <f>VLOOKUP(A25,Dataset!A:N,14,0)</f>
        <v>128.6</v>
      </c>
      <c r="D25" s="12">
        <f>VLOOKUP(A25,Dataset!A:R,18,0)</f>
        <v>79.400000000000006</v>
      </c>
      <c r="E25" s="12">
        <f>VLOOKUP(A25,Dataset!A:T,20,0)</f>
        <v>160.9</v>
      </c>
      <c r="F25" s="8">
        <f>VLOOKUP(A25,Dataset!A:X,22,0)</f>
        <v>79.400000000000006</v>
      </c>
    </row>
    <row r="26" spans="1:6" ht="14.4" x14ac:dyDescent="0.3">
      <c r="A26" s="7" t="s">
        <v>37</v>
      </c>
      <c r="B26" s="12">
        <f>VLOOKUP(A26,Dataset!A:G,7,0)</f>
        <v>49.1</v>
      </c>
      <c r="C26" s="12">
        <f>VLOOKUP(A26,Dataset!A:N,14,0)</f>
        <v>146.80000000000001</v>
      </c>
      <c r="D26" s="12">
        <f>VLOOKUP(A26,Dataset!A:R,18,0)</f>
        <v>90.9</v>
      </c>
      <c r="E26" s="12">
        <f>VLOOKUP(A26,Dataset!A:T,20,0)</f>
        <v>183.5</v>
      </c>
      <c r="F26" s="8">
        <f>VLOOKUP(A26,Dataset!A:X,22,0)</f>
        <v>90.9</v>
      </c>
    </row>
    <row r="27" spans="1:6" ht="14.4" x14ac:dyDescent="0.3">
      <c r="A27" s="7" t="s">
        <v>39</v>
      </c>
      <c r="B27" s="12">
        <f>VLOOKUP(A27,Dataset!A:G,7,0)</f>
        <v>51.8</v>
      </c>
      <c r="C27" s="12">
        <f>VLOOKUP(A27,Dataset!A:N,14,0)</f>
        <v>156.4</v>
      </c>
      <c r="D27" s="12">
        <f>VLOOKUP(A27,Dataset!A:R,18,0)</f>
        <v>93.1</v>
      </c>
      <c r="E27" s="12">
        <f>VLOOKUP(A27,Dataset!A:T,20,0)</f>
        <v>188.1</v>
      </c>
      <c r="F27" s="8">
        <f>VLOOKUP(A27,Dataset!A:X,22,0)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 t="s">
        <v>177</v>
      </c>
    </row>
    <row r="6" spans="1:10" ht="18" x14ac:dyDescent="0.35">
      <c r="A6" s="41" t="s">
        <v>153</v>
      </c>
      <c r="B6" s="38" t="s">
        <v>178</v>
      </c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2" t="s">
        <v>184</v>
      </c>
    </row>
    <row r="7" spans="1:3" ht="14.4" x14ac:dyDescent="0.3">
      <c r="A7" s="3" t="s">
        <v>153</v>
      </c>
      <c r="B7" s="1" t="s">
        <v>183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>
        <v>20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="90" zoomScaleNormal="9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 t="s">
        <v>187</v>
      </c>
    </row>
    <row r="5" spans="1:14" ht="18" x14ac:dyDescent="0.35">
      <c r="A5" s="41" t="s">
        <v>153</v>
      </c>
      <c r="B5" s="1" t="s">
        <v>188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6">
        <v>10100</v>
      </c>
      <c r="N10" s="16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6">
        <v>10102</v>
      </c>
      <c r="N11" s="16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6">
        <v>10104</v>
      </c>
      <c r="N12" s="16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6">
        <v>10106</v>
      </c>
      <c r="N13" s="16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6">
        <v>10108</v>
      </c>
      <c r="N14" s="16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6">
        <v>10110</v>
      </c>
      <c r="N15" s="16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6">
        <v>10112</v>
      </c>
      <c r="N16" s="16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6">
        <v>10114</v>
      </c>
      <c r="N17" s="16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6">
        <v>10116</v>
      </c>
      <c r="N18" s="16" t="s">
        <v>97</v>
      </c>
    </row>
    <row r="21" spans="1:14" ht="23.4" x14ac:dyDescent="0.45">
      <c r="A21" s="17" t="s">
        <v>168</v>
      </c>
      <c r="H21" s="2" t="s">
        <v>189</v>
      </c>
    </row>
    <row r="22" spans="1:14" ht="14.4" x14ac:dyDescent="0.3">
      <c r="A22" s="16" t="s">
        <v>100</v>
      </c>
      <c r="B22" s="16" t="s">
        <v>101</v>
      </c>
      <c r="C22" s="16" t="s">
        <v>102</v>
      </c>
      <c r="H22" s="24" t="s">
        <v>49</v>
      </c>
      <c r="I22" s="24" t="s">
        <v>186</v>
      </c>
    </row>
    <row r="23" spans="1:14" ht="14.4" x14ac:dyDescent="0.3">
      <c r="A23" s="16">
        <v>10100</v>
      </c>
      <c r="B23" s="16">
        <v>10102</v>
      </c>
      <c r="C23" s="24">
        <f>INDEX($B$10:$J$18,MATCH(H23,$A$10:$A$18,0),MATCH(I23,B$9:J$9,0))</f>
        <v>95</v>
      </c>
      <c r="H23" s="24" t="s">
        <v>89</v>
      </c>
      <c r="I23" s="24" t="s">
        <v>90</v>
      </c>
    </row>
    <row r="24" spans="1:14" ht="14.4" x14ac:dyDescent="0.3">
      <c r="A24" s="16">
        <v>10100</v>
      </c>
      <c r="B24" s="16">
        <v>10104</v>
      </c>
      <c r="C24" s="24">
        <f t="shared" ref="C24:C35" si="0">INDEX($B$10:$J$18,MATCH(H24,$A$10:$A$18,0),MATCH(I24,B$9:J$9,0))</f>
        <v>-1</v>
      </c>
      <c r="H24" s="24" t="s">
        <v>89</v>
      </c>
      <c r="I24" s="24" t="s">
        <v>91</v>
      </c>
    </row>
    <row r="25" spans="1:14" ht="14.4" x14ac:dyDescent="0.3">
      <c r="A25" s="16">
        <v>10108</v>
      </c>
      <c r="B25" s="16">
        <v>10102</v>
      </c>
      <c r="C25" s="24">
        <f t="shared" si="0"/>
        <v>160</v>
      </c>
      <c r="H25" s="24" t="s">
        <v>93</v>
      </c>
      <c r="I25" s="24" t="s">
        <v>90</v>
      </c>
    </row>
    <row r="26" spans="1:14" ht="14.4" x14ac:dyDescent="0.3">
      <c r="A26" s="16">
        <v>10100</v>
      </c>
      <c r="B26" s="16">
        <v>10106</v>
      </c>
      <c r="C26" s="24">
        <f t="shared" si="0"/>
        <v>185</v>
      </c>
      <c r="H26" s="24" t="s">
        <v>89</v>
      </c>
      <c r="I26" s="24" t="s">
        <v>92</v>
      </c>
    </row>
    <row r="27" spans="1:14" ht="14.4" x14ac:dyDescent="0.3">
      <c r="A27" s="16">
        <v>10108</v>
      </c>
      <c r="B27" s="16">
        <v>10110</v>
      </c>
      <c r="C27" s="24">
        <f t="shared" si="0"/>
        <v>50</v>
      </c>
      <c r="H27" s="24" t="s">
        <v>93</v>
      </c>
      <c r="I27" s="24" t="s">
        <v>94</v>
      </c>
    </row>
    <row r="28" spans="1:14" ht="14.4" x14ac:dyDescent="0.3">
      <c r="A28" s="16">
        <v>10102</v>
      </c>
      <c r="B28" s="16">
        <v>10104</v>
      </c>
      <c r="C28" s="24">
        <f t="shared" si="0"/>
        <v>-1</v>
      </c>
      <c r="H28" s="24" t="s">
        <v>90</v>
      </c>
      <c r="I28" s="24" t="s">
        <v>91</v>
      </c>
    </row>
    <row r="29" spans="1:14" ht="14.4" x14ac:dyDescent="0.3">
      <c r="A29" s="16">
        <v>10106</v>
      </c>
      <c r="B29" s="16">
        <v>10108</v>
      </c>
      <c r="C29" s="24">
        <f t="shared" si="0"/>
        <v>70</v>
      </c>
      <c r="H29" s="24" t="s">
        <v>92</v>
      </c>
      <c r="I29" s="24" t="s">
        <v>93</v>
      </c>
    </row>
    <row r="30" spans="1:14" ht="14.4" x14ac:dyDescent="0.3">
      <c r="A30" s="16">
        <v>10102</v>
      </c>
      <c r="B30" s="16">
        <v>10106</v>
      </c>
      <c r="C30" s="24">
        <f t="shared" si="0"/>
        <v>90</v>
      </c>
      <c r="H30" s="24" t="s">
        <v>90</v>
      </c>
      <c r="I30" s="24" t="s">
        <v>92</v>
      </c>
    </row>
    <row r="31" spans="1:14" ht="14.4" x14ac:dyDescent="0.3">
      <c r="A31" s="16">
        <v>10110</v>
      </c>
      <c r="B31" s="16">
        <v>10114</v>
      </c>
      <c r="C31" s="24">
        <f t="shared" si="0"/>
        <v>180</v>
      </c>
      <c r="H31" s="24" t="s">
        <v>94</v>
      </c>
      <c r="I31" s="24" t="s">
        <v>96</v>
      </c>
    </row>
    <row r="32" spans="1:14" ht="14.4" x14ac:dyDescent="0.3">
      <c r="A32" s="16">
        <v>10104</v>
      </c>
      <c r="B32" s="16">
        <v>10106</v>
      </c>
      <c r="C32" s="24">
        <f t="shared" si="0"/>
        <v>60</v>
      </c>
      <c r="H32" s="24" t="s">
        <v>91</v>
      </c>
      <c r="I32" s="24" t="s">
        <v>92</v>
      </c>
    </row>
    <row r="33" spans="1:9" ht="14.4" x14ac:dyDescent="0.3">
      <c r="A33" s="16">
        <v>10110</v>
      </c>
      <c r="B33" s="16">
        <v>10112</v>
      </c>
      <c r="C33" s="24">
        <f t="shared" si="0"/>
        <v>115</v>
      </c>
      <c r="H33" s="24" t="s">
        <v>94</v>
      </c>
      <c r="I33" s="24" t="s">
        <v>95</v>
      </c>
    </row>
    <row r="34" spans="1:9" ht="14.4" x14ac:dyDescent="0.3">
      <c r="A34" s="16">
        <v>10100</v>
      </c>
      <c r="B34" s="16">
        <v>10114</v>
      </c>
      <c r="C34" s="24">
        <f t="shared" si="0"/>
        <v>480</v>
      </c>
      <c r="H34" s="24" t="s">
        <v>89</v>
      </c>
      <c r="I34" s="24" t="s">
        <v>96</v>
      </c>
    </row>
    <row r="35" spans="1:9" ht="14.4" x14ac:dyDescent="0.3">
      <c r="A35" s="16">
        <v>10112</v>
      </c>
      <c r="B35" s="16">
        <v>10116</v>
      </c>
      <c r="C35" s="24">
        <f t="shared" si="0"/>
        <v>105</v>
      </c>
      <c r="H35" s="24" t="s">
        <v>95</v>
      </c>
      <c r="I35" s="24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2023-12-10T11:29:19Z</dcterms:modified>
</cp:coreProperties>
</file>